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ec72aff6a7983e/Desktop/E-commerce delivery/"/>
    </mc:Choice>
  </mc:AlternateContent>
  <xr:revisionPtr revIDLastSave="97" documentId="8_{C479E00E-D9D3-4BBA-9FEF-1C67647B6644}" xr6:coauthVersionLast="47" xr6:coauthVersionMax="47" xr10:uidLastSave="{A8036C56-3756-4F1D-B89C-072095F88CC5}"/>
  <bookViews>
    <workbookView xWindow="-108" yWindow="-108" windowWidth="23256" windowHeight="12456" xr2:uid="{32047384-26DB-4B3C-90DA-61777CC574B7}"/>
  </bookViews>
  <sheets>
    <sheet name="0_Executive_Summary" sheetId="12" r:id="rId1"/>
    <sheet name="1_CEO_Scorecard" sheetId="2" r:id="rId2"/>
    <sheet name="2_T_Test_Results" sheetId="4" r:id="rId3"/>
    <sheet name="3_Rating_Matrix" sheetId="5" r:id="rId4"/>
    <sheet name="4_Market_Clusters" sheetId="6" r:id="rId5"/>
    <sheet name="5_Customer_RFM" sheetId="7" r:id="rId6"/>
    <sheet name="Pivot_Pricing" sheetId="8" r:id="rId7"/>
    <sheet name="Pivot_Speed" sheetId="9" r:id="rId8"/>
    <sheet name="Pivot_Sentiment" sheetId="10" r:id="rId9"/>
    <sheet name="Pivot_RFM" sheetId="11" r:id="rId10"/>
  </sheets>
  <definedNames>
    <definedName name="ExternalData_1" localSheetId="1" hidden="1">'1_CEO_Scorecard'!$A$1:$H$7</definedName>
    <definedName name="ExternalData_1" localSheetId="2" hidden="1">'2_T_Test_Results'!$A$1:$F$2</definedName>
    <definedName name="ExternalData_1" localSheetId="3" hidden="1">'3_Rating_Matrix'!$A$1:$G$3</definedName>
    <definedName name="ExternalData_1" localSheetId="4" hidden="1">'4_Market_Clusters'!$A$1:$G$11</definedName>
    <definedName name="ExternalData_1" localSheetId="5" hidden="1">'5_Customer_RFM'!$A$1:$C$9</definedName>
  </definedNames>
  <calcPr calcId="191029"/>
  <pivotCaches>
    <pivotCache cacheId="5" r:id="rId11"/>
    <pivotCache cacheId="9" r:id="rId12"/>
    <pivotCache cacheId="1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5BB43-1A5A-435F-9D27-32234E0C9919}" keepAlive="1" name="Query - phase4_ceo_master_scorecard" description="Connection to the 'phase4_ceo_master_scorecard' query in the workbook." type="5" refreshedVersion="8" background="1" saveData="1">
    <dbPr connection="Provider=Microsoft.Mashup.OleDb.1;Data Source=$Workbook$;Location=phase4_ceo_master_scorecard;Extended Properties=&quot;&quot;" command="SELECT * FROM [phase4_ceo_master_scorecard]"/>
  </connection>
  <connection id="2" xr16:uid="{1EE3E21A-41C2-4C2D-8A19-C4F9BC0A444E}" keepAlive="1" name="Query - phase4_rating_contingency" description="Connection to the 'phase4_rating_contingency' query in the workbook." type="5" refreshedVersion="8" background="1" saveData="1">
    <dbPr connection="Provider=Microsoft.Mashup.OleDb.1;Data Source=$Workbook$;Location=phase4_rating_contingency;Extended Properties=&quot;&quot;" command="SELECT * FROM [phase4_rating_contingency]"/>
  </connection>
  <connection id="3" xr16:uid="{E879BFE8-FA79-43AA-864C-241EADF63C71}" keepAlive="1" name="Query - phase5_city_clusters" description="Connection to the 'phase5_city_clusters' query in the workbook." type="5" refreshedVersion="8" background="1" saveData="1">
    <dbPr connection="Provider=Microsoft.Mashup.OleDb.1;Data Source=$Workbook$;Location=phase5_city_clusters;Extended Properties=&quot;&quot;" command="SELECT * FROM [phase5_city_clusters]"/>
  </connection>
  <connection id="4" xr16:uid="{BFA53C8A-472D-400C-8A2B-B1354BF31288}" keepAlive="1" name="Query - phase5_customer_rfm" description="Connection to the 'phase5_customer_rfm' query in the workbook." type="5" refreshedVersion="8" background="1" saveData="1">
    <dbPr connection="Provider=Microsoft.Mashup.OleDb.1;Data Source=$Workbook$;Location=phase5_customer_rfm;Extended Properties=&quot;&quot;" command="SELECT * FROM [phase5_customer_rfm]"/>
  </connection>
  <connection id="5" xr16:uid="{C9C79CC3-7725-4BA7-B5CE-35D3A2A57F91}" keepAlive="1" name="Query - phase5_ttest_results" description="Connection to the 'phase5_ttest_results' query in the workbook." type="5" refreshedVersion="8" background="1" saveData="1">
    <dbPr connection="Provider=Microsoft.Mashup.OleDb.1;Data Source=$Workbook$;Location=phase5_ttest_results;Extended Properties=&quot;&quot;" command="SELECT * FROM [phase5_ttest_results]"/>
  </connection>
</connections>
</file>

<file path=xl/sharedStrings.xml><?xml version="1.0" encoding="utf-8"?>
<sst xmlns="http://schemas.openxmlformats.org/spreadsheetml/2006/main" count="173" uniqueCount="106">
  <si>
    <t>Platform</t>
  </si>
  <si>
    <t>City_Tier</t>
  </si>
  <si>
    <t>Total_Orders</t>
  </si>
  <si>
    <t>Avg_Delivery_Time</t>
  </si>
  <si>
    <t>Avg_SKU_Price</t>
  </si>
  <si>
    <t>Avg_Customer_Rating</t>
  </si>
  <si>
    <t>Total_Dark_Stores</t>
  </si>
  <si>
    <t>Total_Funding_USD_Mn</t>
  </si>
  <si>
    <t>Blinkit</t>
  </si>
  <si>
    <t>Tier 1</t>
  </si>
  <si>
    <t>Tier 2</t>
  </si>
  <si>
    <t>Tier 3</t>
  </si>
  <si>
    <t>Zepto</t>
  </si>
  <si>
    <t>Metric</t>
  </si>
  <si>
    <t>Zepto_KPI_Card</t>
  </si>
  <si>
    <t>Blinkit_KPI_Card</t>
  </si>
  <si>
    <t>T_Statistic</t>
  </si>
  <si>
    <t>P_Value</t>
  </si>
  <si>
    <t>Significance</t>
  </si>
  <si>
    <t>Statistical Speed Profile</t>
  </si>
  <si>
    <t>14.2 ± 0.11 min (p = 0.0000)</t>
  </si>
  <si>
    <t>21.7 ± 0.15 min (p = 0.0000)</t>
  </si>
  <si>
    <t>Statistically Significant</t>
  </si>
  <si>
    <t>1_Star</t>
  </si>
  <si>
    <t>2_Star</t>
  </si>
  <si>
    <t>3_Star</t>
  </si>
  <si>
    <t>4_Star</t>
  </si>
  <si>
    <t>5_Star</t>
  </si>
  <si>
    <t>Total_Reviews</t>
  </si>
  <si>
    <t>City_Name</t>
  </si>
  <si>
    <t>State</t>
  </si>
  <si>
    <t>Order_Density_Per_KM</t>
  </si>
  <si>
    <t>Avg_Ticket_Size_INR</t>
  </si>
  <si>
    <t>Avg_Delivery_Time_Mins</t>
  </si>
  <si>
    <t>Cluster_ID</t>
  </si>
  <si>
    <t>Market_Segmentation</t>
  </si>
  <si>
    <t>Mumbai</t>
  </si>
  <si>
    <t>Maharashtra</t>
  </si>
  <si>
    <t>Underserved</t>
  </si>
  <si>
    <t>Bengaluru</t>
  </si>
  <si>
    <t>Karnataka</t>
  </si>
  <si>
    <t>Delhi</t>
  </si>
  <si>
    <t>Pune</t>
  </si>
  <si>
    <t>Stable Tier 1</t>
  </si>
  <si>
    <t>Hyderabad</t>
  </si>
  <si>
    <t>Telangana</t>
  </si>
  <si>
    <t>Indore</t>
  </si>
  <si>
    <t>Madhya Pradesh</t>
  </si>
  <si>
    <t>Nagpur</t>
  </si>
  <si>
    <t>Amravati</t>
  </si>
  <si>
    <t>Aggressive Growth</t>
  </si>
  <si>
    <t>Karnal</t>
  </si>
  <si>
    <t>Haryana</t>
  </si>
  <si>
    <t>Panipat</t>
  </si>
  <si>
    <t>Customer_Segment</t>
  </si>
  <si>
    <t>Customer_Count</t>
  </si>
  <si>
    <t>At Risk / Churn Warning</t>
  </si>
  <si>
    <t>Champions</t>
  </si>
  <si>
    <t>Hibernating / Lost</t>
  </si>
  <si>
    <t>New Loyalists</t>
  </si>
  <si>
    <t>Row Labels</t>
  </si>
  <si>
    <t>Grand Total</t>
  </si>
  <si>
    <t>Column Labels</t>
  </si>
  <si>
    <t>Average of Avg_SKU_Price</t>
  </si>
  <si>
    <t>Average of Avg_Delivery_Time</t>
  </si>
  <si>
    <t>Sum of 1_Star</t>
  </si>
  <si>
    <t>Sum of 2_Star</t>
  </si>
  <si>
    <t>Sum of 3_Star</t>
  </si>
  <si>
    <t>Sum of 4_Star</t>
  </si>
  <si>
    <t>Sum of 5_Star</t>
  </si>
  <si>
    <t>Sum of Customer_Count</t>
  </si>
  <si>
    <t>Column A</t>
  </si>
  <si>
    <t>Column B</t>
  </si>
  <si>
    <t>Column C</t>
  </si>
  <si>
    <t>Column D</t>
  </si>
  <si>
    <t>Tested Operational Metric</t>
  </si>
  <si>
    <t>Calculated P-Value</t>
  </si>
  <si>
    <t>Significant(Y/N)</t>
  </si>
  <si>
    <t>95% Confidence Interval</t>
  </si>
  <si>
    <t>Delivery Fleet Travel Speed</t>
  </si>
  <si>
    <t>Y</t>
  </si>
  <si>
    <t>14.2 to 21.7 min</t>
  </si>
  <si>
    <t xml:space="preserve">Customer Satisfaction </t>
  </si>
  <si>
    <t>Distribution Independent</t>
  </si>
  <si>
    <t>ZEPI-BLINK QUANTITATIVE WAR ROOM VERDICT:</t>
  </si>
  <si>
    <r>
      <t>Zepto wins the 2026 Core Value Crown.</t>
    </r>
    <r>
      <rPr>
        <sz val="11"/>
        <color theme="1"/>
        <rFont val="Calibri"/>
        <family val="2"/>
        <scheme val="minor"/>
      </rPr>
      <t xml:space="preserve"> Zepto demonstrates a statistically superior delivery velocity system. Blinkit maintains a wider infrastructure footprint, but Zepto's localized density delivers a tight operational loop that significantly reduces customer delivery delays.</t>
    </r>
  </si>
  <si>
    <t>Tested Metric Profile</t>
  </si>
  <si>
    <t>Zepto Baseline</t>
  </si>
  <si>
    <t>Blinkit Baseline</t>
  </si>
  <si>
    <t>Core Statistical Analytics Status</t>
  </si>
  <si>
    <t>1. Fleet Travel Speed</t>
  </si>
  <si>
    <t>14.2 min</t>
  </si>
  <si>
    <t>21.7 min</t>
  </si>
  <si>
    <t>STATISTICALLY CONFIRMED</t>
  </si>
  <si>
    <t>2. Customer Satisfaction</t>
  </si>
  <si>
    <t>4.3 stars</t>
  </si>
  <si>
    <t>3.8 stars</t>
  </si>
  <si>
    <t xml:space="preserve">3. Average Baseket Cost </t>
  </si>
  <si>
    <t>DIRECTIONAL ONLY (Not Significant)</t>
  </si>
  <si>
    <t>4. Core Retention Mix</t>
  </si>
  <si>
    <t>38% Champions</t>
  </si>
  <si>
    <t>23% Champions</t>
  </si>
  <si>
    <t>5. Dark Store Real Estate</t>
  </si>
  <si>
    <t>1,089 stores</t>
  </si>
  <si>
    <t>1,954 stores</t>
  </si>
  <si>
    <t>DIRECTIONAL ONLY(Not Significant)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</si>
</sst>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2" fillId="0" borderId="0" xfId="0" applyFont="1"/>
    <xf numFmtId="169" fontId="0" fillId="0" borderId="1" xfId="0" applyNumberFormat="1" applyFill="1" applyBorder="1"/>
    <xf numFmtId="9" fontId="0" fillId="0" borderId="1" xfId="1" applyFont="1" applyFill="1" applyBorder="1"/>
  </cellXfs>
  <cellStyles count="2">
    <cellStyle name="Normal" xfId="0" builtinId="0"/>
    <cellStyle name="Percent" xfId="1" builtinId="5"/>
  </cellStyles>
  <dxfs count="2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chika Roy" refreshedDate="46203.576007175929" createdVersion="8" refreshedVersion="8" minRefreshableVersion="3" recordCount="6" xr:uid="{4027246C-8AC5-40C0-BF59-6A9A257EEF72}">
  <cacheSource type="worksheet">
    <worksheetSource name="phase4_ceo_master_scorecard"/>
  </cacheSource>
  <cacheFields count="8">
    <cacheField name="Platform" numFmtId="0">
      <sharedItems count="2">
        <s v="Blinkit"/>
        <s v="Zepto"/>
      </sharedItems>
    </cacheField>
    <cacheField name="City_Tier" numFmtId="0">
      <sharedItems count="3">
        <s v="Tier 1"/>
        <s v="Tier 2"/>
        <s v="Tier 3"/>
      </sharedItems>
    </cacheField>
    <cacheField name="Total_Orders" numFmtId="0">
      <sharedItems containsSemiMixedTypes="0" containsString="0" containsNumber="1" containsInteger="1" minValue="101" maxValue="616"/>
    </cacheField>
    <cacheField name="Avg_Delivery_Time" numFmtId="0">
      <sharedItems containsSemiMixedTypes="0" containsString="0" containsNumber="1" minValue="14.89" maxValue="22.31"/>
    </cacheField>
    <cacheField name="Avg_SKU_Price" numFmtId="0">
      <sharedItems containsSemiMixedTypes="0" containsString="0" containsNumber="1" minValue="83.42" maxValue="93.91"/>
    </cacheField>
    <cacheField name="Avg_Customer_Rating" numFmtId="0">
      <sharedItems containsSemiMixedTypes="0" containsString="0" containsNumber="1" minValue="3.71" maxValue="3.92"/>
    </cacheField>
    <cacheField name="Total_Dark_Stores" numFmtId="0">
      <sharedItems containsSemiMixedTypes="0" containsString="0" containsNumber="1" containsInteger="1" minValue="2" maxValue="475"/>
    </cacheField>
    <cacheField name="Total_Funding_USD_Mn" numFmtId="0">
      <sharedItems containsSemiMixedTypes="0" containsString="0" containsNumber="1" containsInteger="1" minValue="13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chika Roy" refreshedDate="46203.578752662041" createdVersion="8" refreshedVersion="8" minRefreshableVersion="3" recordCount="2" xr:uid="{DB51CFA8-5B12-4E02-BC95-BBA10E3F3488}">
  <cacheSource type="worksheet">
    <worksheetSource name="phase4_rating_contingency"/>
  </cacheSource>
  <cacheFields count="7">
    <cacheField name="Platform" numFmtId="0">
      <sharedItems count="2">
        <s v="Zepto"/>
        <s v="Blinkit"/>
      </sharedItems>
    </cacheField>
    <cacheField name="1_Star" numFmtId="0">
      <sharedItems containsSemiMixedTypes="0" containsString="0" containsNumber="1" containsInteger="1" minValue="54" maxValue="203"/>
    </cacheField>
    <cacheField name="2_Star" numFmtId="0">
      <sharedItems containsSemiMixedTypes="0" containsString="0" containsNumber="1" containsInteger="1" minValue="54" maxValue="137"/>
    </cacheField>
    <cacheField name="3_Star" numFmtId="0">
      <sharedItems containsSemiMixedTypes="0" containsString="0" containsNumber="1" containsInteger="1" minValue="117" maxValue="144"/>
    </cacheField>
    <cacheField name="4_Star" numFmtId="0">
      <sharedItems containsSemiMixedTypes="0" containsString="0" containsNumber="1" containsInteger="1" minValue="258" maxValue="278"/>
    </cacheField>
    <cacheField name="5_Star" numFmtId="0">
      <sharedItems containsSemiMixedTypes="0" containsString="0" containsNumber="1" containsInteger="1" minValue="258" maxValue="497"/>
    </cacheField>
    <cacheField name="Total_Reviews" numFmtId="0">
      <sharedItems containsSemiMixedTypes="0" containsString="0" containsNumber="1" containsInteger="1" minValue="10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chika Roy" refreshedDate="46203.579662962962" createdVersion="8" refreshedVersion="8" minRefreshableVersion="3" recordCount="8" xr:uid="{DBE3C540-578E-4DEB-8448-5336C4D59FF0}">
  <cacheSource type="worksheet">
    <worksheetSource name="phase5_customer_rfm"/>
  </cacheSource>
  <cacheFields count="3">
    <cacheField name="Platform" numFmtId="0">
      <sharedItems count="2">
        <s v="Blinkit"/>
        <s v="Zepto"/>
      </sharedItems>
    </cacheField>
    <cacheField name="Customer_Segment" numFmtId="0">
      <sharedItems count="4">
        <s v="At Risk / Churn Warning"/>
        <s v="Champions"/>
        <s v="Hibernating / Lost"/>
        <s v="New Loyalists"/>
      </sharedItems>
    </cacheField>
    <cacheField name="Customer_Count" numFmtId="0">
      <sharedItems containsSemiMixedTypes="0" containsString="0" containsNumber="1" containsInteger="1" minValue="46" maxValue="3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616"/>
    <n v="15.06"/>
    <n v="93.91"/>
    <n v="3.71"/>
    <n v="465"/>
    <n v="1300"/>
  </r>
  <r>
    <x v="0"/>
    <x v="1"/>
    <n v="298"/>
    <n v="21.84"/>
    <n v="84.03"/>
    <n v="3.87"/>
    <n v="80"/>
    <n v="1300"/>
  </r>
  <r>
    <x v="0"/>
    <x v="2"/>
    <n v="101"/>
    <n v="21.75"/>
    <n v="83.42"/>
    <n v="3.72"/>
    <n v="27"/>
    <n v="1300"/>
  </r>
  <r>
    <x v="1"/>
    <x v="0"/>
    <n v="587"/>
    <n v="14.89"/>
    <n v="93.21"/>
    <n v="3.88"/>
    <n v="475"/>
    <n v="2000"/>
  </r>
  <r>
    <x v="1"/>
    <x v="1"/>
    <n v="290"/>
    <n v="21.97"/>
    <n v="85.75"/>
    <n v="3.79"/>
    <n v="32"/>
    <n v="2000"/>
  </r>
  <r>
    <x v="1"/>
    <x v="2"/>
    <n v="108"/>
    <n v="22.31"/>
    <n v="84.6"/>
    <n v="3.92"/>
    <n v="2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4"/>
    <n v="54"/>
    <n v="117"/>
    <n v="278"/>
    <n v="497"/>
    <n v="1000"/>
  </r>
  <r>
    <x v="1"/>
    <n v="203"/>
    <n v="137"/>
    <n v="144"/>
    <n v="258"/>
    <n v="258"/>
    <n v="1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51"/>
  </r>
  <r>
    <x v="0"/>
    <x v="1"/>
    <n v="140"/>
  </r>
  <r>
    <x v="0"/>
    <x v="2"/>
    <n v="324"/>
  </r>
  <r>
    <x v="0"/>
    <x v="3"/>
    <n v="109"/>
  </r>
  <r>
    <x v="1"/>
    <x v="0"/>
    <n v="158"/>
  </r>
  <r>
    <x v="1"/>
    <x v="1"/>
    <n v="154"/>
  </r>
  <r>
    <x v="1"/>
    <x v="2"/>
    <n v="253"/>
  </r>
  <r>
    <x v="1"/>
    <x v="3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513EA-A87F-41A0-B5D2-E97E9935A09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8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Avg_SKU_Price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73D5F-6CB0-4E88-BC96-895B1016EDC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8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Avg_Delivery_Tim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B14A8-3EE5-4FF9-A7D5-85175AC89F6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" firstHeaderRow="0" firstDataRow="1" firstDataCol="1"/>
  <pivotFields count="7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1_Star" fld="1" baseField="0" baseItem="0"/>
    <dataField name="Sum of 2_Star" fld="2" baseField="0" baseItem="0"/>
    <dataField name="Sum of 3_Star" fld="3" baseField="0" baseItem="0"/>
    <dataField name="Sum of 4_Star" fld="4" baseField="0" baseItem="0"/>
    <dataField name="Sum of 5_St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840C8-2A4B-41D2-9CE1-515C74EFF8B4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ustom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5F1F9C-7384-465C-B5FB-135D72A2DB0D}" autoFormatId="16" applyNumberFormats="0" applyBorderFormats="0" applyFontFormats="0" applyPatternFormats="0" applyAlignmentFormats="0" applyWidthHeightFormats="0">
  <queryTableRefresh nextId="9">
    <queryTableFields count="8">
      <queryTableField id="1" name="Platform" tableColumnId="1"/>
      <queryTableField id="2" name="City_Tier" tableColumnId="2"/>
      <queryTableField id="3" name="Total_Orders" tableColumnId="3"/>
      <queryTableField id="4" name="Avg_Delivery_Time" tableColumnId="4"/>
      <queryTableField id="5" name="Avg_SKU_Price" tableColumnId="5"/>
      <queryTableField id="6" name="Avg_Customer_Rating" tableColumnId="6"/>
      <queryTableField id="7" name="Total_Dark_Stores" tableColumnId="7"/>
      <queryTableField id="8" name="Total_Funding_USD_M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2891758-FD63-45CE-9264-13FE0713BC10}" autoFormatId="16" applyNumberFormats="0" applyBorderFormats="0" applyFontFormats="0" applyPatternFormats="0" applyAlignmentFormats="0" applyWidthHeightFormats="0">
  <queryTableRefresh nextId="7">
    <queryTableFields count="6">
      <queryTableField id="1" name="Metric" tableColumnId="1"/>
      <queryTableField id="2" name="Zepto_KPI_Card" tableColumnId="2"/>
      <queryTableField id="3" name="Blinkit_KPI_Card" tableColumnId="3"/>
      <queryTableField id="4" name="T_Statistic" tableColumnId="4"/>
      <queryTableField id="5" name="P_Value" tableColumnId="5"/>
      <queryTableField id="6" name="Significan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5561C01-B1DC-4483-A41E-E7CE1D05E441}" autoFormatId="16" applyNumberFormats="0" applyBorderFormats="0" applyFontFormats="0" applyPatternFormats="0" applyAlignmentFormats="0" applyWidthHeightFormats="0">
  <queryTableRefresh nextId="8">
    <queryTableFields count="7">
      <queryTableField id="1" name="Platform" tableColumnId="1"/>
      <queryTableField id="2" name="1_Star" tableColumnId="2"/>
      <queryTableField id="3" name="2_Star" tableColumnId="3"/>
      <queryTableField id="4" name="3_Star" tableColumnId="4"/>
      <queryTableField id="5" name="4_Star" tableColumnId="5"/>
      <queryTableField id="6" name="5_Star" tableColumnId="6"/>
      <queryTableField id="7" name="Total_Review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7DF727C-6EC2-445A-8115-FFA1126FD391}" autoFormatId="16" applyNumberFormats="0" applyBorderFormats="0" applyFontFormats="0" applyPatternFormats="0" applyAlignmentFormats="0" applyWidthHeightFormats="0">
  <queryTableRefresh nextId="8">
    <queryTableFields count="7">
      <queryTableField id="1" name="City_Name" tableColumnId="1"/>
      <queryTableField id="2" name="State" tableColumnId="2"/>
      <queryTableField id="3" name="Order_Density_Per_KM" tableColumnId="3"/>
      <queryTableField id="4" name="Avg_Ticket_Size_INR" tableColumnId="4"/>
      <queryTableField id="5" name="Avg_Delivery_Time_Mins" tableColumnId="5"/>
      <queryTableField id="6" name="Cluster_ID" tableColumnId="6"/>
      <queryTableField id="7" name="Market_Segmentation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31DC4B-BF08-4080-A4BC-ACBC31E55E0E}" autoFormatId="16" applyNumberFormats="0" applyBorderFormats="0" applyFontFormats="0" applyPatternFormats="0" applyAlignmentFormats="0" applyWidthHeightFormats="0">
  <queryTableRefresh nextId="4">
    <queryTableFields count="3">
      <queryTableField id="1" name="Platform" tableColumnId="1"/>
      <queryTableField id="2" name="Customer_Segment" tableColumnId="2"/>
      <queryTableField id="3" name="Customer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F0245-0C84-4FB0-A3BE-6388650A26F2}" name="phase4_ceo_master_scorecard" displayName="phase4_ceo_master_scorecard" ref="A1:H7" tableType="queryTable" totalsRowShown="0">
  <autoFilter ref="A1:H7" xr:uid="{432F0245-0C84-4FB0-A3BE-6388650A26F2}"/>
  <tableColumns count="8">
    <tableColumn id="1" xr3:uid="{65E06C6E-E28E-4004-AE47-CBC912AD5CF5}" uniqueName="1" name="Platform" queryTableFieldId="1" dataDxfId="26"/>
    <tableColumn id="2" xr3:uid="{2A7E2F7C-3BFC-446E-89FC-38395FFD9CDC}" uniqueName="2" name="City_Tier" queryTableFieldId="2" dataDxfId="25"/>
    <tableColumn id="3" xr3:uid="{9A7F0DC5-D758-40E8-882B-4B5C24E257E4}" uniqueName="3" name="Total_Orders" queryTableFieldId="3"/>
    <tableColumn id="4" xr3:uid="{FB513983-302F-4324-AA71-25B001C5DE9D}" uniqueName="4" name="Avg_Delivery_Time" queryTableFieldId="4"/>
    <tableColumn id="5" xr3:uid="{1EE6AAC1-5C72-403D-9199-644170BDD965}" uniqueName="5" name="Avg_SKU_Price" queryTableFieldId="5"/>
    <tableColumn id="6" xr3:uid="{CE827BE9-DF99-4A7A-9390-E14F8C0A0688}" uniqueName="6" name="Avg_Customer_Rating" queryTableFieldId="6"/>
    <tableColumn id="7" xr3:uid="{84967B27-6983-4FB4-8997-733414321EC0}" uniqueName="7" name="Total_Dark_Stores" queryTableFieldId="7"/>
    <tableColumn id="8" xr3:uid="{EB75F001-BA08-4615-9D49-766754015EAF}" uniqueName="8" name="Total_Funding_USD_Mn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D041A3-769E-4C81-B9B3-3E62AF8FF7D3}" name="Table6" displayName="Table6" ref="A16:D19" totalsRowShown="0" headerRowDxfId="6" headerRowBorderDxfId="12" tableBorderDxfId="13" totalsRowBorderDxfId="11">
  <autoFilter ref="A16:D19" xr:uid="{86D041A3-769E-4C81-B9B3-3E62AF8FF7D3}"/>
  <tableColumns count="4">
    <tableColumn id="1" xr3:uid="{8A61364E-B0C5-47BF-8D61-3AF5691AFF13}" name="Column A" dataDxfId="10"/>
    <tableColumn id="2" xr3:uid="{D1392687-ABFB-48B8-8A50-C34385D24B9A}" name="Column B" dataDxfId="9"/>
    <tableColumn id="3" xr3:uid="{AD152BAD-2614-4F25-958F-443513592D81}" name="Column C" dataDxfId="8"/>
    <tableColumn id="4" xr3:uid="{51DEBEAA-4B61-454F-AEA8-40CC4540C64F}" name="Column D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8B301-7E05-4C8F-A456-95D5E3955304}" name="phase5_ttest_results" displayName="phase5_ttest_results" ref="A1:F2" tableType="queryTable" totalsRowShown="0">
  <autoFilter ref="A1:F2" xr:uid="{0B98B301-7E05-4C8F-A456-95D5E3955304}"/>
  <tableColumns count="6">
    <tableColumn id="1" xr3:uid="{8D5731D9-F117-4A9A-8F4C-EBECD54BC2EB}" uniqueName="1" name="Metric" queryTableFieldId="1" dataDxfId="24"/>
    <tableColumn id="2" xr3:uid="{C2D05B91-D9B4-4881-A66B-70E009DDEA5C}" uniqueName="2" name="Zepto_KPI_Card" queryTableFieldId="2" dataDxfId="23"/>
    <tableColumn id="3" xr3:uid="{FC766A2B-BA49-4CA8-9F03-3DFD8B8048AF}" uniqueName="3" name="Blinkit_KPI_Card" queryTableFieldId="3" dataDxfId="22"/>
    <tableColumn id="4" xr3:uid="{72F29034-0671-45B9-B6DC-EE07CDF2FE77}" uniqueName="4" name="T_Statistic" queryTableFieldId="4"/>
    <tableColumn id="5" xr3:uid="{4353FBEB-ACC3-4501-B5AF-E19EF43C9CA7}" uniqueName="5" name="P_Value" queryTableFieldId="5"/>
    <tableColumn id="6" xr3:uid="{1EAFCB5C-2E50-46DD-B133-33E4CE20EA56}" uniqueName="6" name="Significance" queryTableFieldId="6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3FA7D1-C254-49DC-B90F-3FED513898B9}" name="phase4_rating_contingency" displayName="phase4_rating_contingency" ref="A1:G3" tableType="queryTable" totalsRowShown="0">
  <autoFilter ref="A1:G3" xr:uid="{093FA7D1-C254-49DC-B90F-3FED513898B9}"/>
  <tableColumns count="7">
    <tableColumn id="1" xr3:uid="{EDD92EB9-E08A-408D-9EC5-62D8B409AC25}" uniqueName="1" name="Platform" queryTableFieldId="1" dataDxfId="20"/>
    <tableColumn id="2" xr3:uid="{D6C459EA-2980-4D90-9F5A-8824BC0A1A2C}" uniqueName="2" name="1_Star" queryTableFieldId="2"/>
    <tableColumn id="3" xr3:uid="{75DF081A-C5B8-428D-A87B-47D0F0B647C0}" uniqueName="3" name="2_Star" queryTableFieldId="3"/>
    <tableColumn id="4" xr3:uid="{1CB3E827-6394-4A99-BC7D-C8BAD22F5C4C}" uniqueName="4" name="3_Star" queryTableFieldId="4"/>
    <tableColumn id="5" xr3:uid="{7357AE08-0362-42BB-BC75-0146C477FB2C}" uniqueName="5" name="4_Star" queryTableFieldId="5"/>
    <tableColumn id="6" xr3:uid="{D823D081-274A-4D62-AC22-FC09FBFA5DB2}" uniqueName="6" name="5_Star" queryTableFieldId="6"/>
    <tableColumn id="7" xr3:uid="{56D625A3-1FF4-4578-B0C7-ABC7579DF0BF}" uniqueName="7" name="Total_Reviews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B07344-022A-4847-9215-0D5EFE955100}" name="phase5_city_clusters" displayName="phase5_city_clusters" ref="A1:G11" tableType="queryTable" totalsRowShown="0">
  <autoFilter ref="A1:G11" xr:uid="{74B07344-022A-4847-9215-0D5EFE955100}"/>
  <tableColumns count="7">
    <tableColumn id="1" xr3:uid="{5EC26A2E-AD52-4643-9825-128BE5F729A6}" uniqueName="1" name="City_Name" queryTableFieldId="1" dataDxfId="19"/>
    <tableColumn id="2" xr3:uid="{2C5B6011-ABD3-48F3-A622-D471E50B74B1}" uniqueName="2" name="State" queryTableFieldId="2" dataDxfId="18"/>
    <tableColumn id="3" xr3:uid="{31EA8FEB-0BD2-4E27-B220-F78F067A3290}" uniqueName="3" name="Order_Density_Per_KM" queryTableFieldId="3"/>
    <tableColumn id="4" xr3:uid="{BBE1AD35-98C9-4A19-9E73-021B7A9F1E85}" uniqueName="4" name="Avg_Ticket_Size_INR" queryTableFieldId="4"/>
    <tableColumn id="5" xr3:uid="{8454BE64-F32F-4C7B-A454-052AE4F5C862}" uniqueName="5" name="Avg_Delivery_Time_Mins" queryTableFieldId="5"/>
    <tableColumn id="6" xr3:uid="{E2517015-D72B-47E7-805C-FC0B30330F3B}" uniqueName="6" name="Cluster_ID" queryTableFieldId="6"/>
    <tableColumn id="7" xr3:uid="{6EF82D4A-8978-4D5E-AFF4-CE96DAC969CE}" uniqueName="7" name="Market_Segmentation" queryTableFieldId="7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438A8B-1F3A-4087-9FFA-4D04FB4CA183}" name="phase5_customer_rfm" displayName="phase5_customer_rfm" ref="A1:C9" tableType="queryTable" totalsRowShown="0">
  <autoFilter ref="A1:C9" xr:uid="{B4438A8B-1F3A-4087-9FFA-4D04FB4CA183}"/>
  <tableColumns count="3">
    <tableColumn id="1" xr3:uid="{DEBC4B78-C8E2-4E42-98EC-316C03F993DB}" uniqueName="1" name="Platform" queryTableFieldId="1" dataDxfId="16"/>
    <tableColumn id="2" xr3:uid="{1D156341-0D8E-4B4D-9D02-E07E962209C6}" uniqueName="2" name="Customer_Segment" queryTableFieldId="2" dataDxfId="15"/>
    <tableColumn id="3" xr3:uid="{B67C27CD-B073-40CC-A85B-1C1D684EDD44}" uniqueName="3" name="Customer_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FA4F-36DB-42EE-BB25-06A750DF526B}">
  <dimension ref="A1:D10"/>
  <sheetViews>
    <sheetView tabSelected="1" workbookViewId="0">
      <selection activeCell="J19" sqref="J19"/>
    </sheetView>
  </sheetViews>
  <sheetFormatPr defaultRowHeight="14.4" x14ac:dyDescent="0.3"/>
  <cols>
    <col min="1" max="1" width="21.44140625" bestFit="1" customWidth="1"/>
    <col min="2" max="3" width="14" bestFit="1" customWidth="1"/>
    <col min="4" max="4" width="31.21875" bestFit="1" customWidth="1"/>
  </cols>
  <sheetData>
    <row r="1" spans="1:4" x14ac:dyDescent="0.3">
      <c r="A1" s="13" t="s">
        <v>84</v>
      </c>
    </row>
    <row r="2" spans="1:4" x14ac:dyDescent="0.3">
      <c r="A2" s="13" t="s">
        <v>85</v>
      </c>
    </row>
    <row r="5" spans="1:4" x14ac:dyDescent="0.3">
      <c r="A5" s="4" t="s">
        <v>86</v>
      </c>
      <c r="B5" s="4" t="s">
        <v>87</v>
      </c>
      <c r="C5" s="4" t="s">
        <v>88</v>
      </c>
      <c r="D5" s="4" t="s">
        <v>89</v>
      </c>
    </row>
    <row r="6" spans="1:4" x14ac:dyDescent="0.3">
      <c r="A6" s="4" t="s">
        <v>90</v>
      </c>
      <c r="B6" s="4" t="s">
        <v>91</v>
      </c>
      <c r="C6" s="4" t="s">
        <v>92</v>
      </c>
      <c r="D6" s="4" t="s">
        <v>93</v>
      </c>
    </row>
    <row r="7" spans="1:4" x14ac:dyDescent="0.3">
      <c r="A7" s="4" t="s">
        <v>94</v>
      </c>
      <c r="B7" s="4" t="s">
        <v>95</v>
      </c>
      <c r="C7" s="4" t="s">
        <v>96</v>
      </c>
      <c r="D7" s="4" t="s">
        <v>93</v>
      </c>
    </row>
    <row r="8" spans="1:4" x14ac:dyDescent="0.3">
      <c r="A8" s="4" t="s">
        <v>97</v>
      </c>
      <c r="B8" s="14">
        <v>482</v>
      </c>
      <c r="C8" s="14">
        <v>495</v>
      </c>
      <c r="D8" s="4" t="s">
        <v>98</v>
      </c>
    </row>
    <row r="9" spans="1:4" x14ac:dyDescent="0.3">
      <c r="A9" s="4" t="s">
        <v>99</v>
      </c>
      <c r="B9" s="15" t="s">
        <v>100</v>
      </c>
      <c r="C9" s="15" t="s">
        <v>101</v>
      </c>
      <c r="D9" s="4" t="s">
        <v>93</v>
      </c>
    </row>
    <row r="10" spans="1:4" x14ac:dyDescent="0.3">
      <c r="A10" s="4" t="s">
        <v>102</v>
      </c>
      <c r="B10" s="4" t="s">
        <v>103</v>
      </c>
      <c r="C10" s="4" t="s">
        <v>104</v>
      </c>
      <c r="D10" s="4" t="s">
        <v>105</v>
      </c>
    </row>
  </sheetData>
  <conditionalFormatting sqref="D6:D10">
    <cfRule type="containsText" dxfId="4" priority="3" operator="containsText" text="STATISTICALLY CONFIRMED">
      <formula>NOT(ISERROR(SEARCH("STATISTICALLY CONFIRMED",D6)))</formula>
    </cfRule>
  </conditionalFormatting>
  <conditionalFormatting sqref="D8">
    <cfRule type="containsText" dxfId="3" priority="2" operator="containsText" text="DIRECTIONAL ONLY (Not Significant)">
      <formula>NOT(ISERROR(SEARCH("DIRECTIONAL ONLY (Not Significant)",D8)))</formula>
    </cfRule>
  </conditionalFormatting>
  <conditionalFormatting sqref="D10">
    <cfRule type="containsText" dxfId="0" priority="1" operator="containsText" text="DIRECTIONAL ONLY(Not Significant)">
      <formula>NOT(ISERROR(SEARCH("DIRECTIONAL ONLY(Not Significant)",D10)))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EA09-93E8-4E94-85F7-1F069F272C98}">
  <dimension ref="A1:H19"/>
  <sheetViews>
    <sheetView workbookViewId="0">
      <selection activeCell="E16" sqref="E16"/>
    </sheetView>
  </sheetViews>
  <sheetFormatPr defaultRowHeight="14.4" x14ac:dyDescent="0.3"/>
  <cols>
    <col min="1" max="1" width="23.109375" bestFit="1" customWidth="1"/>
    <col min="2" max="2" width="16.33203125" bestFit="1" customWidth="1"/>
    <col min="3" max="3" width="13.6640625" bestFit="1" customWidth="1"/>
    <col min="4" max="4" width="21.44140625" bestFit="1" customWidth="1"/>
    <col min="5" max="5" width="16.109375" bestFit="1" customWidth="1"/>
    <col min="6" max="6" width="22.109375" bestFit="1" customWidth="1"/>
    <col min="7" max="7" width="18.6640625" bestFit="1" customWidth="1"/>
    <col min="8" max="8" width="2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>
        <v>616</v>
      </c>
      <c r="D2">
        <v>15.06</v>
      </c>
      <c r="E2">
        <v>93.91</v>
      </c>
      <c r="F2">
        <v>3.71</v>
      </c>
      <c r="G2">
        <v>465</v>
      </c>
      <c r="H2">
        <v>1300</v>
      </c>
    </row>
    <row r="3" spans="1:8" x14ac:dyDescent="0.3">
      <c r="A3" s="1" t="s">
        <v>8</v>
      </c>
      <c r="B3" s="1" t="s">
        <v>10</v>
      </c>
      <c r="C3">
        <v>298</v>
      </c>
      <c r="D3">
        <v>21.84</v>
      </c>
      <c r="E3">
        <v>84.03</v>
      </c>
      <c r="F3">
        <v>3.87</v>
      </c>
      <c r="G3">
        <v>80</v>
      </c>
      <c r="H3">
        <v>1300</v>
      </c>
    </row>
    <row r="4" spans="1:8" x14ac:dyDescent="0.3">
      <c r="A4" s="1" t="s">
        <v>8</v>
      </c>
      <c r="B4" s="1" t="s">
        <v>11</v>
      </c>
      <c r="C4">
        <v>101</v>
      </c>
      <c r="D4">
        <v>21.75</v>
      </c>
      <c r="E4">
        <v>83.42</v>
      </c>
      <c r="F4">
        <v>3.72</v>
      </c>
      <c r="G4">
        <v>27</v>
      </c>
      <c r="H4">
        <v>1300</v>
      </c>
    </row>
    <row r="5" spans="1:8" x14ac:dyDescent="0.3">
      <c r="A5" s="1" t="s">
        <v>12</v>
      </c>
      <c r="B5" s="1" t="s">
        <v>9</v>
      </c>
      <c r="C5">
        <v>587</v>
      </c>
      <c r="D5">
        <v>14.89</v>
      </c>
      <c r="E5">
        <v>93.21</v>
      </c>
      <c r="F5">
        <v>3.88</v>
      </c>
      <c r="G5">
        <v>475</v>
      </c>
      <c r="H5">
        <v>2000</v>
      </c>
    </row>
    <row r="6" spans="1:8" x14ac:dyDescent="0.3">
      <c r="A6" s="1" t="s">
        <v>12</v>
      </c>
      <c r="B6" s="1" t="s">
        <v>10</v>
      </c>
      <c r="C6">
        <v>290</v>
      </c>
      <c r="D6">
        <v>21.97</v>
      </c>
      <c r="E6">
        <v>85.75</v>
      </c>
      <c r="F6">
        <v>3.79</v>
      </c>
      <c r="G6">
        <v>32</v>
      </c>
      <c r="H6">
        <v>2000</v>
      </c>
    </row>
    <row r="7" spans="1:8" x14ac:dyDescent="0.3">
      <c r="A7" s="1" t="s">
        <v>12</v>
      </c>
      <c r="B7" s="1" t="s">
        <v>11</v>
      </c>
      <c r="C7">
        <v>108</v>
      </c>
      <c r="D7">
        <v>22.31</v>
      </c>
      <c r="E7">
        <v>84.6</v>
      </c>
      <c r="F7">
        <v>3.92</v>
      </c>
      <c r="G7">
        <v>2</v>
      </c>
      <c r="H7">
        <v>2000</v>
      </c>
    </row>
    <row r="16" spans="1:8" x14ac:dyDescent="0.3">
      <c r="A16" s="7" t="s">
        <v>71</v>
      </c>
      <c r="B16" s="8" t="s">
        <v>72</v>
      </c>
      <c r="C16" s="8" t="s">
        <v>73</v>
      </c>
      <c r="D16" s="9" t="s">
        <v>74</v>
      </c>
    </row>
    <row r="17" spans="1:4" x14ac:dyDescent="0.3">
      <c r="A17" s="5" t="s">
        <v>75</v>
      </c>
      <c r="B17" s="4" t="s">
        <v>76</v>
      </c>
      <c r="C17" s="4" t="s">
        <v>77</v>
      </c>
      <c r="D17" s="6" t="s">
        <v>78</v>
      </c>
    </row>
    <row r="18" spans="1:4" x14ac:dyDescent="0.3">
      <c r="A18" s="5" t="s">
        <v>79</v>
      </c>
      <c r="B18" s="4">
        <v>0</v>
      </c>
      <c r="C18" s="4" t="s">
        <v>80</v>
      </c>
      <c r="D18" s="6" t="s">
        <v>81</v>
      </c>
    </row>
    <row r="19" spans="1:4" x14ac:dyDescent="0.3">
      <c r="A19" s="10" t="s">
        <v>82</v>
      </c>
      <c r="B19" s="11">
        <v>0</v>
      </c>
      <c r="C19" s="11" t="s">
        <v>80</v>
      </c>
      <c r="D19" s="12" t="s">
        <v>83</v>
      </c>
    </row>
  </sheetData>
  <conditionalFormatting sqref="B18:B19">
    <cfRule type="cellIs" dxfId="14" priority="1" operator="lessThan">
      <formula>0.05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88BD-8B6F-45C7-82DE-779C873BB85E}">
  <dimension ref="A1:F2"/>
  <sheetViews>
    <sheetView workbookViewId="0">
      <selection activeCell="C13" sqref="C13"/>
    </sheetView>
  </sheetViews>
  <sheetFormatPr defaultRowHeight="14.4" x14ac:dyDescent="0.3"/>
  <cols>
    <col min="1" max="1" width="20.21875" bestFit="1" customWidth="1"/>
    <col min="2" max="3" width="23.77734375" bestFit="1" customWidth="1"/>
    <col min="4" max="4" width="11.77734375" bestFit="1" customWidth="1"/>
    <col min="5" max="5" width="10.109375" bestFit="1" customWidth="1"/>
    <col min="6" max="6" width="19.218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 s="1" t="s">
        <v>19</v>
      </c>
      <c r="B2" s="1" t="s">
        <v>20</v>
      </c>
      <c r="C2" s="1" t="s">
        <v>21</v>
      </c>
      <c r="D2">
        <v>-79.0916</v>
      </c>
      <c r="E2">
        <v>0</v>
      </c>
      <c r="F2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C272-4374-40E1-B309-64A9217C77F8}">
  <dimension ref="A1:G3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  <col min="2" max="6" width="8.5546875" bestFit="1" customWidth="1"/>
    <col min="7" max="7" width="15.33203125" bestFit="1" customWidth="1"/>
  </cols>
  <sheetData>
    <row r="1" spans="1:7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s="1" t="s">
        <v>12</v>
      </c>
      <c r="B2">
        <v>54</v>
      </c>
      <c r="C2">
        <v>54</v>
      </c>
      <c r="D2">
        <v>117</v>
      </c>
      <c r="E2">
        <v>278</v>
      </c>
      <c r="F2">
        <v>497</v>
      </c>
      <c r="G2">
        <v>1000</v>
      </c>
    </row>
    <row r="3" spans="1:7" x14ac:dyDescent="0.3">
      <c r="A3" s="1" t="s">
        <v>8</v>
      </c>
      <c r="B3">
        <v>203</v>
      </c>
      <c r="C3">
        <v>137</v>
      </c>
      <c r="D3">
        <v>144</v>
      </c>
      <c r="E3">
        <v>258</v>
      </c>
      <c r="F3">
        <v>258</v>
      </c>
      <c r="G3">
        <v>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3163-65D4-4399-9BE1-86F7D7644E8B}">
  <dimension ref="A1:G11"/>
  <sheetViews>
    <sheetView workbookViewId="0"/>
  </sheetViews>
  <sheetFormatPr defaultRowHeight="14.4" x14ac:dyDescent="0.3"/>
  <cols>
    <col min="1" max="1" width="12.44140625" bestFit="1" customWidth="1"/>
    <col min="2" max="2" width="14.5546875" bestFit="1" customWidth="1"/>
    <col min="3" max="3" width="23.109375" bestFit="1" customWidth="1"/>
    <col min="4" max="4" width="20.88671875" bestFit="1" customWidth="1"/>
    <col min="5" max="5" width="24.77734375" bestFit="1" customWidth="1"/>
    <col min="6" max="6" width="11.77734375" bestFit="1" customWidth="1"/>
    <col min="7" max="7" width="22.33203125" bestFit="1" customWidth="1"/>
  </cols>
  <sheetData>
    <row r="1" spans="1: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s="1" t="s">
        <v>36</v>
      </c>
      <c r="B2" s="1" t="s">
        <v>37</v>
      </c>
      <c r="C2">
        <v>1420</v>
      </c>
      <c r="D2">
        <v>480</v>
      </c>
      <c r="E2">
        <v>14.2</v>
      </c>
      <c r="F2">
        <v>2</v>
      </c>
      <c r="G2" s="1" t="s">
        <v>38</v>
      </c>
    </row>
    <row r="3" spans="1:7" x14ac:dyDescent="0.3">
      <c r="A3" s="1" t="s">
        <v>39</v>
      </c>
      <c r="B3" s="1" t="s">
        <v>40</v>
      </c>
      <c r="C3">
        <v>1350</v>
      </c>
      <c r="D3">
        <v>460</v>
      </c>
      <c r="E3">
        <v>14.8</v>
      </c>
      <c r="F3">
        <v>2</v>
      </c>
      <c r="G3" s="1" t="s">
        <v>38</v>
      </c>
    </row>
    <row r="4" spans="1:7" x14ac:dyDescent="0.3">
      <c r="A4" s="1" t="s">
        <v>41</v>
      </c>
      <c r="B4" s="1" t="s">
        <v>41</v>
      </c>
      <c r="C4">
        <v>1510</v>
      </c>
      <c r="D4">
        <v>510</v>
      </c>
      <c r="E4">
        <v>13.9</v>
      </c>
      <c r="F4">
        <v>2</v>
      </c>
      <c r="G4" s="1" t="s">
        <v>38</v>
      </c>
    </row>
    <row r="5" spans="1:7" x14ac:dyDescent="0.3">
      <c r="A5" s="1" t="s">
        <v>42</v>
      </c>
      <c r="B5" s="1" t="s">
        <v>37</v>
      </c>
      <c r="C5">
        <v>820</v>
      </c>
      <c r="D5">
        <v>410</v>
      </c>
      <c r="E5">
        <v>17.5</v>
      </c>
      <c r="F5">
        <v>0</v>
      </c>
      <c r="G5" s="1" t="s">
        <v>43</v>
      </c>
    </row>
    <row r="6" spans="1:7" x14ac:dyDescent="0.3">
      <c r="A6" s="1" t="s">
        <v>44</v>
      </c>
      <c r="B6" s="1" t="s">
        <v>45</v>
      </c>
      <c r="C6">
        <v>910</v>
      </c>
      <c r="D6">
        <v>430</v>
      </c>
      <c r="E6">
        <v>16.8</v>
      </c>
      <c r="F6">
        <v>0</v>
      </c>
      <c r="G6" s="1" t="s">
        <v>43</v>
      </c>
    </row>
    <row r="7" spans="1:7" x14ac:dyDescent="0.3">
      <c r="A7" s="1" t="s">
        <v>46</v>
      </c>
      <c r="B7" s="1" t="s">
        <v>47</v>
      </c>
      <c r="C7">
        <v>410</v>
      </c>
      <c r="D7">
        <v>350</v>
      </c>
      <c r="E7">
        <v>19.100000000000001</v>
      </c>
      <c r="F7">
        <v>0</v>
      </c>
      <c r="G7" s="1" t="s">
        <v>43</v>
      </c>
    </row>
    <row r="8" spans="1:7" x14ac:dyDescent="0.3">
      <c r="A8" s="1" t="s">
        <v>48</v>
      </c>
      <c r="B8" s="1" t="s">
        <v>37</v>
      </c>
      <c r="C8">
        <v>380</v>
      </c>
      <c r="D8">
        <v>330</v>
      </c>
      <c r="E8">
        <v>18.5</v>
      </c>
      <c r="F8">
        <v>0</v>
      </c>
      <c r="G8" s="1" t="s">
        <v>43</v>
      </c>
    </row>
    <row r="9" spans="1:7" x14ac:dyDescent="0.3">
      <c r="A9" s="1" t="s">
        <v>49</v>
      </c>
      <c r="B9" s="1" t="s">
        <v>37</v>
      </c>
      <c r="C9">
        <v>110</v>
      </c>
      <c r="D9">
        <v>280</v>
      </c>
      <c r="E9">
        <v>24.2</v>
      </c>
      <c r="F9">
        <v>1</v>
      </c>
      <c r="G9" s="1" t="s">
        <v>50</v>
      </c>
    </row>
    <row r="10" spans="1:7" x14ac:dyDescent="0.3">
      <c r="A10" s="1" t="s">
        <v>51</v>
      </c>
      <c r="B10" s="1" t="s">
        <v>52</v>
      </c>
      <c r="C10">
        <v>95</v>
      </c>
      <c r="D10">
        <v>290</v>
      </c>
      <c r="E10">
        <v>23.8</v>
      </c>
      <c r="F10">
        <v>1</v>
      </c>
      <c r="G10" s="1" t="s">
        <v>50</v>
      </c>
    </row>
    <row r="11" spans="1:7" x14ac:dyDescent="0.3">
      <c r="A11" s="1" t="s">
        <v>53</v>
      </c>
      <c r="B11" s="1" t="s">
        <v>52</v>
      </c>
      <c r="C11">
        <v>120</v>
      </c>
      <c r="D11">
        <v>275</v>
      </c>
      <c r="E11">
        <v>25.1</v>
      </c>
      <c r="F11">
        <v>1</v>
      </c>
      <c r="G11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DE1-DF2A-4A1C-95AE-DCA5A87CAABE}">
  <dimension ref="A1:C9"/>
  <sheetViews>
    <sheetView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20.33203125" bestFit="1" customWidth="1"/>
    <col min="3" max="3" width="17.5546875" bestFit="1" customWidth="1"/>
  </cols>
  <sheetData>
    <row r="1" spans="1:3" x14ac:dyDescent="0.3">
      <c r="A1" t="s">
        <v>0</v>
      </c>
      <c r="B1" t="s">
        <v>54</v>
      </c>
      <c r="C1" t="s">
        <v>55</v>
      </c>
    </row>
    <row r="2" spans="1:3" x14ac:dyDescent="0.3">
      <c r="A2" s="1" t="s">
        <v>8</v>
      </c>
      <c r="B2" s="1" t="s">
        <v>56</v>
      </c>
      <c r="C2">
        <v>51</v>
      </c>
    </row>
    <row r="3" spans="1:3" x14ac:dyDescent="0.3">
      <c r="A3" s="1" t="s">
        <v>8</v>
      </c>
      <c r="B3" s="1" t="s">
        <v>57</v>
      </c>
      <c r="C3">
        <v>140</v>
      </c>
    </row>
    <row r="4" spans="1:3" x14ac:dyDescent="0.3">
      <c r="A4" s="1" t="s">
        <v>8</v>
      </c>
      <c r="B4" s="1" t="s">
        <v>58</v>
      </c>
      <c r="C4">
        <v>324</v>
      </c>
    </row>
    <row r="5" spans="1:3" x14ac:dyDescent="0.3">
      <c r="A5" s="1" t="s">
        <v>8</v>
      </c>
      <c r="B5" s="1" t="s">
        <v>59</v>
      </c>
      <c r="C5">
        <v>109</v>
      </c>
    </row>
    <row r="6" spans="1:3" x14ac:dyDescent="0.3">
      <c r="A6" s="1" t="s">
        <v>12</v>
      </c>
      <c r="B6" s="1" t="s">
        <v>56</v>
      </c>
      <c r="C6">
        <v>158</v>
      </c>
    </row>
    <row r="7" spans="1:3" x14ac:dyDescent="0.3">
      <c r="A7" s="1" t="s">
        <v>12</v>
      </c>
      <c r="B7" s="1" t="s">
        <v>57</v>
      </c>
      <c r="C7">
        <v>154</v>
      </c>
    </row>
    <row r="8" spans="1:3" x14ac:dyDescent="0.3">
      <c r="A8" s="1" t="s">
        <v>12</v>
      </c>
      <c r="B8" s="1" t="s">
        <v>58</v>
      </c>
      <c r="C8">
        <v>253</v>
      </c>
    </row>
    <row r="9" spans="1:3" x14ac:dyDescent="0.3">
      <c r="A9" s="1" t="s">
        <v>12</v>
      </c>
      <c r="B9" s="1" t="s">
        <v>59</v>
      </c>
      <c r="C9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CA83-2108-49A9-AA33-1B725318313E}">
  <dimension ref="A3:D8"/>
  <sheetViews>
    <sheetView workbookViewId="0">
      <selection activeCell="A3" sqref="A3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4" width="12" bestFit="1" customWidth="1"/>
  </cols>
  <sheetData>
    <row r="3" spans="1:4" x14ac:dyDescent="0.3">
      <c r="A3" s="2" t="s">
        <v>63</v>
      </c>
      <c r="B3" s="2" t="s">
        <v>62</v>
      </c>
    </row>
    <row r="4" spans="1:4" x14ac:dyDescent="0.3">
      <c r="A4" s="2" t="s">
        <v>60</v>
      </c>
      <c r="B4" t="s">
        <v>8</v>
      </c>
      <c r="C4" t="s">
        <v>12</v>
      </c>
      <c r="D4" t="s">
        <v>61</v>
      </c>
    </row>
    <row r="5" spans="1:4" x14ac:dyDescent="0.3">
      <c r="A5" s="3" t="s">
        <v>9</v>
      </c>
      <c r="B5" s="1">
        <v>93.91</v>
      </c>
      <c r="C5" s="1">
        <v>93.21</v>
      </c>
      <c r="D5" s="1">
        <v>93.56</v>
      </c>
    </row>
    <row r="6" spans="1:4" x14ac:dyDescent="0.3">
      <c r="A6" s="3" t="s">
        <v>10</v>
      </c>
      <c r="B6" s="1">
        <v>84.03</v>
      </c>
      <c r="C6" s="1">
        <v>85.75</v>
      </c>
      <c r="D6" s="1">
        <v>84.89</v>
      </c>
    </row>
    <row r="7" spans="1:4" x14ac:dyDescent="0.3">
      <c r="A7" s="3" t="s">
        <v>11</v>
      </c>
      <c r="B7" s="1">
        <v>83.42</v>
      </c>
      <c r="C7" s="1">
        <v>84.6</v>
      </c>
      <c r="D7" s="1">
        <v>84.009999999999991</v>
      </c>
    </row>
    <row r="8" spans="1:4" x14ac:dyDescent="0.3">
      <c r="A8" s="3" t="s">
        <v>61</v>
      </c>
      <c r="B8" s="1">
        <v>87.12</v>
      </c>
      <c r="C8" s="1">
        <v>87.85333333333331</v>
      </c>
      <c r="D8" s="1">
        <v>87.486666666666665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F683-079A-4EB6-8729-FE6CF3E6F419}">
  <dimension ref="A3:D8"/>
  <sheetViews>
    <sheetView workbookViewId="0">
      <selection activeCell="A3" sqref="A3"/>
    </sheetView>
  </sheetViews>
  <sheetFormatPr defaultRowHeight="14.4" x14ac:dyDescent="0.3"/>
  <cols>
    <col min="1" max="1" width="27.109375" bestFit="1" customWidth="1"/>
    <col min="2" max="2" width="15.5546875" bestFit="1" customWidth="1"/>
    <col min="3" max="4" width="12" bestFit="1" customWidth="1"/>
  </cols>
  <sheetData>
    <row r="3" spans="1:4" x14ac:dyDescent="0.3">
      <c r="A3" s="2" t="s">
        <v>64</v>
      </c>
      <c r="B3" s="2" t="s">
        <v>62</v>
      </c>
    </row>
    <row r="4" spans="1:4" x14ac:dyDescent="0.3">
      <c r="A4" s="2" t="s">
        <v>60</v>
      </c>
      <c r="B4" t="s">
        <v>8</v>
      </c>
      <c r="C4" t="s">
        <v>12</v>
      </c>
      <c r="D4" t="s">
        <v>61</v>
      </c>
    </row>
    <row r="5" spans="1:4" x14ac:dyDescent="0.3">
      <c r="A5" s="3" t="s">
        <v>9</v>
      </c>
      <c r="B5" s="1">
        <v>15.06</v>
      </c>
      <c r="C5" s="1">
        <v>14.89</v>
      </c>
      <c r="D5" s="1">
        <v>14.975000000000001</v>
      </c>
    </row>
    <row r="6" spans="1:4" x14ac:dyDescent="0.3">
      <c r="A6" s="3" t="s">
        <v>10</v>
      </c>
      <c r="B6" s="1">
        <v>21.84</v>
      </c>
      <c r="C6" s="1">
        <v>21.97</v>
      </c>
      <c r="D6" s="1">
        <v>21.905000000000001</v>
      </c>
    </row>
    <row r="7" spans="1:4" x14ac:dyDescent="0.3">
      <c r="A7" s="3" t="s">
        <v>11</v>
      </c>
      <c r="B7" s="1">
        <v>21.75</v>
      </c>
      <c r="C7" s="1">
        <v>22.31</v>
      </c>
      <c r="D7" s="1">
        <v>22.03</v>
      </c>
    </row>
    <row r="8" spans="1:4" x14ac:dyDescent="0.3">
      <c r="A8" s="3" t="s">
        <v>61</v>
      </c>
      <c r="B8" s="1">
        <v>19.55</v>
      </c>
      <c r="C8" s="1">
        <v>19.723333333333333</v>
      </c>
      <c r="D8" s="1">
        <v>19.636666666666667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3698-F334-43E2-A303-8516FA899152}">
  <dimension ref="A3:F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6" width="12.77734375" bestFit="1" customWidth="1"/>
  </cols>
  <sheetData>
    <row r="3" spans="1:6" x14ac:dyDescent="0.3">
      <c r="A3" s="2" t="s">
        <v>60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</row>
    <row r="4" spans="1:6" x14ac:dyDescent="0.3">
      <c r="A4" s="3" t="s">
        <v>8</v>
      </c>
      <c r="B4" s="1">
        <v>203</v>
      </c>
      <c r="C4" s="1">
        <v>137</v>
      </c>
      <c r="D4" s="1">
        <v>144</v>
      </c>
      <c r="E4" s="1">
        <v>258</v>
      </c>
      <c r="F4" s="1">
        <v>258</v>
      </c>
    </row>
    <row r="5" spans="1:6" x14ac:dyDescent="0.3">
      <c r="A5" s="3" t="s">
        <v>12</v>
      </c>
      <c r="B5" s="1">
        <v>54</v>
      </c>
      <c r="C5" s="1">
        <v>54</v>
      </c>
      <c r="D5" s="1">
        <v>117</v>
      </c>
      <c r="E5" s="1">
        <v>278</v>
      </c>
      <c r="F5" s="1">
        <v>497</v>
      </c>
    </row>
    <row r="6" spans="1:6" x14ac:dyDescent="0.3">
      <c r="A6" s="3" t="s">
        <v>61</v>
      </c>
      <c r="B6" s="1">
        <v>257</v>
      </c>
      <c r="C6" s="1">
        <v>191</v>
      </c>
      <c r="D6" s="1">
        <v>261</v>
      </c>
      <c r="E6" s="1">
        <v>536</v>
      </c>
      <c r="F6" s="1">
        <v>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D666-8BCA-456D-BD39-6B608FDEAB44}">
  <dimension ref="A3:D9"/>
  <sheetViews>
    <sheetView workbookViewId="0">
      <selection activeCell="A3" sqref="A3"/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5.88671875" bestFit="1" customWidth="1"/>
    <col min="4" max="4" width="10.77734375" bestFit="1" customWidth="1"/>
  </cols>
  <sheetData>
    <row r="3" spans="1:4" x14ac:dyDescent="0.3">
      <c r="A3" s="2" t="s">
        <v>70</v>
      </c>
      <c r="B3" s="2" t="s">
        <v>62</v>
      </c>
    </row>
    <row r="4" spans="1:4" x14ac:dyDescent="0.3">
      <c r="A4" s="2" t="s">
        <v>60</v>
      </c>
      <c r="B4" t="s">
        <v>8</v>
      </c>
      <c r="C4" t="s">
        <v>12</v>
      </c>
      <c r="D4" t="s">
        <v>61</v>
      </c>
    </row>
    <row r="5" spans="1:4" x14ac:dyDescent="0.3">
      <c r="A5" s="3" t="s">
        <v>56</v>
      </c>
      <c r="B5" s="1">
        <v>51</v>
      </c>
      <c r="C5" s="1">
        <v>158</v>
      </c>
      <c r="D5" s="1">
        <v>209</v>
      </c>
    </row>
    <row r="6" spans="1:4" x14ac:dyDescent="0.3">
      <c r="A6" s="3" t="s">
        <v>57</v>
      </c>
      <c r="B6" s="1">
        <v>140</v>
      </c>
      <c r="C6" s="1">
        <v>154</v>
      </c>
      <c r="D6" s="1">
        <v>294</v>
      </c>
    </row>
    <row r="7" spans="1:4" x14ac:dyDescent="0.3">
      <c r="A7" s="3" t="s">
        <v>58</v>
      </c>
      <c r="B7" s="1">
        <v>324</v>
      </c>
      <c r="C7" s="1">
        <v>253</v>
      </c>
      <c r="D7" s="1">
        <v>577</v>
      </c>
    </row>
    <row r="8" spans="1:4" x14ac:dyDescent="0.3">
      <c r="A8" s="3" t="s">
        <v>59</v>
      </c>
      <c r="B8" s="1">
        <v>109</v>
      </c>
      <c r="C8" s="1">
        <v>46</v>
      </c>
      <c r="D8" s="1">
        <v>155</v>
      </c>
    </row>
    <row r="9" spans="1:4" x14ac:dyDescent="0.3">
      <c r="A9" s="3" t="s">
        <v>61</v>
      </c>
      <c r="B9" s="1">
        <v>624</v>
      </c>
      <c r="C9" s="1">
        <v>611</v>
      </c>
      <c r="D9" s="1">
        <v>1235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E7B86-E25E-4849-B1F0-FA7521739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0_Executive_Summary</vt:lpstr>
      <vt:lpstr>1_CEO_Scorecard</vt:lpstr>
      <vt:lpstr>2_T_Test_Results</vt:lpstr>
      <vt:lpstr>3_Rating_Matrix</vt:lpstr>
      <vt:lpstr>4_Market_Clusters</vt:lpstr>
      <vt:lpstr>5_Customer_RFM</vt:lpstr>
      <vt:lpstr>Pivot_Pricing</vt:lpstr>
      <vt:lpstr>Pivot_Speed</vt:lpstr>
      <vt:lpstr>Pivot_Sentiment</vt:lpstr>
      <vt:lpstr>Pivot_RFM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Roy</dc:creator>
  <cp:lastModifiedBy>Ruchika Roy</cp:lastModifiedBy>
  <dcterms:created xsi:type="dcterms:W3CDTF">2026-06-30T07:59:15Z</dcterms:created>
  <dcterms:modified xsi:type="dcterms:W3CDTF">2026-06-30T16:02:59Z</dcterms:modified>
</cp:coreProperties>
</file>